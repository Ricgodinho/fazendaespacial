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ametros_Cultivos" sheetId="2" state="visible" r:id="rId4"/>
    <sheet name="Cenarios_Sessao" sheetId="3" state="visible" r:id="rId5"/>
    <sheet name="Simulacao_Seman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<sst xmlns="http://schemas.openxmlformats.org/spreadsheetml/2006/main" count="46" uniqueCount="44">
  <si>
    <t xml:space="preserve">Fazenda Espacial — Simulação do Loop Idle</t>
  </si>
  <si>
    <t xml:space="preserve">Referente a docs/04-prototipo-0-loop-idle.md</t>
  </si>
  <si>
    <t xml:space="preserve">Como usar esta planilha:</t>
  </si>
  <si>
    <t xml:space="preserve">1. Edite as células AZUIS na aba 'Parametros_Cultivos' e 'Cenarios_Sessao' — são os únicos valores de entrada.</t>
  </si>
  <si>
    <t xml:space="preserve">2. As células PRETAS são fórmulas calculadas automaticamente — não precisa (e não deve) editar.</t>
  </si>
  <si>
    <t xml:space="preserve">3. A aba 'Simulacao_Semanal' recalcula sozinha conforme você muda os parâmetros.</t>
  </si>
  <si>
    <t xml:space="preserve">4. Ajuste os números até o ritmo de espera/retorno parecer certo (ver perguntas de validação no final).</t>
  </si>
  <si>
    <t xml:space="preserve">Legenda de cores:</t>
  </si>
  <si>
    <t xml:space="preserve">Entrada (edite livremente)</t>
  </si>
  <si>
    <t xml:space="preserve">Fórmula (não editar)</t>
  </si>
  <si>
    <t xml:space="preserve">Perguntas de validação (ver aba Simulacao_Semanal):</t>
  </si>
  <si>
    <t xml:space="preserve">- Jogador casual perde muitos ciclos por dia? Se sim, aumente a capacidade de armazenamento (não a produção por ciclo).</t>
  </si>
  <si>
    <t xml:space="preserve">- Jogador dedicado sente que a capacidade é pequena demais / sempre cheia sem graça? Ajuste capacidade ou tempo de ciclo.</t>
  </si>
  <si>
    <t xml:space="preserve">- O ritmo de checagem (1x/dia vs 3-4x/dia) parece saudável para cada cultivo, ou frustrante / irrelevante?</t>
  </si>
  <si>
    <t xml:space="preserve">Parâmetros dos Cultivos</t>
  </si>
  <si>
    <t xml:space="preserve">Edite as colunas azuis (B a D). As colunas E e F recalculam sozinhas.</t>
  </si>
  <si>
    <t xml:space="preserve">Cultivo</t>
  </si>
  <si>
    <t xml:space="preserve">Tempo de crescimento (h)</t>
  </si>
  <si>
    <t xml:space="preserve">Produção por ciclo (un)</t>
  </si>
  <si>
    <t xml:space="preserve">Capacidade de armazenamento (un)</t>
  </si>
  <si>
    <t xml:space="preserve">Ciclos até saturar (calc.)</t>
  </si>
  <si>
    <t xml:space="preserve">Horas até saturar (calc.)</t>
  </si>
  <si>
    <t xml:space="preserve">Trigo Lunar</t>
  </si>
  <si>
    <t xml:space="preserve">Fibra Estelar</t>
  </si>
  <si>
    <t xml:space="preserve">Cenários de Comportamento do Jogador</t>
  </si>
  <si>
    <t xml:space="preserve">Edite a coluna azul (Sessões por dia). A coluna calculada recalcula sozinha.</t>
  </si>
  <si>
    <t xml:space="preserve">Cenário</t>
  </si>
  <si>
    <t xml:space="preserve">Sessões por dia</t>
  </si>
  <si>
    <t xml:space="preserve">Horas entre sessões (calc.)</t>
  </si>
  <si>
    <t xml:space="preserve">Casual (1x/dia)</t>
  </si>
  <si>
    <t xml:space="preserve">Dedicado (3-4x/dia)</t>
  </si>
  <si>
    <t xml:space="preserve">Simulação Semanal — Coleta vs. Desperdício</t>
  </si>
  <si>
    <t xml:space="preserve">Tudo aqui é calculado a partir das abas Parametros_Cultivos e Cenarios_Sessao. Não editar.</t>
  </si>
  <si>
    <t xml:space="preserve">Sessões/dia</t>
  </si>
  <si>
    <t xml:space="preserve">Horas entre sessões</t>
  </si>
  <si>
    <t xml:space="preserve">Ciclos possíveis/sessão</t>
  </si>
  <si>
    <t xml:space="preserve">Ciclos capacidade (cultivo)</t>
  </si>
  <si>
    <t xml:space="preserve">Ciclos coletados/sessão</t>
  </si>
  <si>
    <t xml:space="preserve">Ciclos perdidos/sessão</t>
  </si>
  <si>
    <t xml:space="preserve">% de ciclos perdidos</t>
  </si>
  <si>
    <t xml:space="preserve">Unidades coletadas/dia</t>
  </si>
  <si>
    <t xml:space="preserve">Unidades coletadas/semana</t>
  </si>
  <si>
    <t xml:space="preserve">Como ler: '% de ciclos perdidos' alto = jogador está perdendo produção por falta de armazenamento.</t>
  </si>
  <si>
    <t xml:space="preserve">Ajuste primeiro a Capacidade de armazenamento (aba Parametros_Cultivos) antes de mexer em produção ou tempo de ciclo.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</si>
</sst>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0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1" customFormat="false" ht="15" hidden="false" customHeight="false" outlineLevel="0" collapsed="false">
      <c r="A11" s="3" t="s">
        <v>7</v>
      </c>
    </row>
    <row r="13" customFormat="false" ht="15" hidden="false" customHeight="false" outlineLevel="0" collapsed="false">
      <c r="A13" s="4" t="s">
        <v>8</v>
      </c>
    </row>
    <row r="14" customFormat="false" ht="15" hidden="false" customHeight="false" outlineLevel="0" collapsed="false">
      <c r="A14" s="5" t="s">
        <v>9</v>
      </c>
    </row>
    <row r="16" customFormat="false" ht="15" hidden="false" customHeight="false" outlineLevel="0" collapsed="false">
      <c r="A16" s="3" t="s">
        <v>10</v>
      </c>
    </row>
    <row r="17" customFormat="false" ht="15" hidden="false" customHeight="false" outlineLevel="0" collapsed="false">
      <c r="A17" s="0" t="s">
        <v>11</v>
      </c>
    </row>
    <row r="18" customFormat="false" ht="15" hidden="false" customHeight="false" outlineLevel="0" collapsed="false">
      <c r="A18" s="0" t="s">
        <v>12</v>
      </c>
    </row>
    <row r="19" customFormat="false" ht="15" hidden="false" customHeight="false" outlineLevel="0" collapsed="false">
      <c r="A19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26.85" hidden="false" customHeight="fals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</row>
    <row r="5" customFormat="false" ht="15" hidden="false" customHeight="false" outlineLevel="0" collapsed="false">
      <c r="A5" s="7" t="s">
        <v>22</v>
      </c>
      <c r="B5" s="8" t="n">
        <v>2</v>
      </c>
      <c r="C5" s="8" t="n">
        <v>10</v>
      </c>
      <c r="D5" s="8" t="n">
        <v>30</v>
      </c>
      <c r="E5" s="9" t="n">
        <f aca="false">D5/C5</f>
        <v>3</v>
      </c>
      <c r="F5" s="9" t="n">
        <f aca="false">E5*B5</f>
        <v>6</v>
      </c>
    </row>
    <row r="6" customFormat="false" ht="15" hidden="false" customHeight="false" outlineLevel="0" collapsed="false">
      <c r="A6" s="7" t="s">
        <v>23</v>
      </c>
      <c r="B6" s="8" t="n">
        <v>18</v>
      </c>
      <c r="C6" s="8" t="n">
        <v>5</v>
      </c>
      <c r="D6" s="8" t="n">
        <v>15</v>
      </c>
      <c r="E6" s="9" t="n">
        <f aca="false">D6/C6</f>
        <v>3</v>
      </c>
      <c r="F6" s="9" t="n">
        <f aca="false">E6*B6</f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26.85" hidden="false" customHeight="false" outlineLevel="0" collapsed="false">
      <c r="A4" s="6" t="s">
        <v>26</v>
      </c>
      <c r="B4" s="6" t="s">
        <v>27</v>
      </c>
      <c r="C4" s="6" t="s">
        <v>28</v>
      </c>
    </row>
    <row r="5" customFormat="false" ht="15" hidden="false" customHeight="false" outlineLevel="0" collapsed="false">
      <c r="A5" s="7" t="s">
        <v>29</v>
      </c>
      <c r="B5" s="8" t="n">
        <v>1</v>
      </c>
      <c r="C5" s="9" t="n">
        <f aca="false">24/B5</f>
        <v>24</v>
      </c>
    </row>
    <row r="6" customFormat="false" ht="15" hidden="false" customHeight="false" outlineLevel="0" collapsed="false">
      <c r="A6" s="7" t="s">
        <v>30</v>
      </c>
      <c r="B6" s="8" t="n">
        <v>4</v>
      </c>
      <c r="C6" s="9" t="n">
        <f aca="false">24/B6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7" min="5" style="0" width="20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26.85" hidden="false" customHeight="false" outlineLevel="0" collapsed="false">
      <c r="A4" s="6" t="s">
        <v>26</v>
      </c>
      <c r="B4" s="6" t="s">
        <v>16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customFormat="false" ht="15" hidden="false" customHeight="false" outlineLevel="0" collapsed="false">
      <c r="A5" s="10" t="str">
        <f aca="false">Cenarios_Sessao!A5</f>
        <v>Casual (1x/dia)</v>
      </c>
      <c r="B5" s="10" t="str">
        <f aca="false">Parametros_Cultivos!A5</f>
        <v>Trigo Lunar</v>
      </c>
      <c r="C5" s="11" t="n">
        <f aca="false">INDEX(Cenarios_Sessao!B5:B6,MATCH(A5,Cenarios_Sessao!A5:A6,0))</f>
        <v>1</v>
      </c>
      <c r="D5" s="11" t="n">
        <f aca="false">INDEX(Cenarios_Sessao!C5:C6,MATCH(A5,Cenarios_Sessao!A5:A6,0))</f>
        <v>24</v>
      </c>
      <c r="E5" s="11" t="n">
        <f aca="false">FLOOR(D5/INDEX(Parametros_Cultivos!B5:B6,MATCH(B5,Parametros_Cultivos!A5:A6,0)),1)</f>
        <v>12</v>
      </c>
      <c r="F5" s="11" t="n">
        <f aca="false">INDEX(Parametros_Cultivos!E5:E6,MATCH(B5,Parametros_Cultivos!A5:A6,0))</f>
        <v>3</v>
      </c>
      <c r="G5" s="11" t="n">
        <f aca="false">MIN(E5,F5)</f>
        <v>3</v>
      </c>
      <c r="H5" s="11" t="n">
        <f aca="false">MAX(E5-F5,0)</f>
        <v>9</v>
      </c>
      <c r="I5" s="12" t="n">
        <f aca="false">IFERROR(H5/E5,0)</f>
        <v>0.75</v>
      </c>
      <c r="J5" s="11" t="n">
        <f aca="false">G5*INDEX(Parametros_Cultivos!C5:C6,MATCH(B5,Parametros_Cultivos!A5:A6,0))*C5</f>
        <v>30</v>
      </c>
      <c r="K5" s="11" t="n">
        <f aca="false">J5*7</f>
        <v>210</v>
      </c>
    </row>
    <row r="6" customFormat="false" ht="15" hidden="false" customHeight="false" outlineLevel="0" collapsed="false">
      <c r="A6" s="10" t="str">
        <f aca="false">Cenarios_Sessao!A5</f>
        <v>Casual (1x/dia)</v>
      </c>
      <c r="B6" s="10" t="str">
        <f aca="false">Parametros_Cultivos!A6</f>
        <v>Fibra Estelar</v>
      </c>
      <c r="C6" s="11" t="n">
        <f aca="false">INDEX(Cenarios_Sessao!B5:B6,MATCH(A6,Cenarios_Sessao!A5:A6,0))</f>
        <v>1</v>
      </c>
      <c r="D6" s="11" t="n">
        <f aca="false">INDEX(Cenarios_Sessao!C5:C6,MATCH(A6,Cenarios_Sessao!A5:A6,0))</f>
        <v>24</v>
      </c>
      <c r="E6" s="11" t="n">
        <f aca="false">FLOOR(D6/INDEX(Parametros_Cultivos!B5:B6,MATCH(B6,Parametros_Cultivos!A5:A6,0)),1)</f>
        <v>1</v>
      </c>
      <c r="F6" s="11" t="n">
        <f aca="false">INDEX(Parametros_Cultivos!E5:E6,MATCH(B6,Parametros_Cultivos!A5:A6,0))</f>
        <v>3</v>
      </c>
      <c r="G6" s="11" t="n">
        <f aca="false">MIN(E6,F6)</f>
        <v>1</v>
      </c>
      <c r="H6" s="11" t="n">
        <f aca="false">MAX(E6-F6,0)</f>
        <v>0</v>
      </c>
      <c r="I6" s="12" t="n">
        <f aca="false">IFERROR(H6/E6,0)</f>
        <v>0</v>
      </c>
      <c r="J6" s="11" t="n">
        <f aca="false">G6*INDEX(Parametros_Cultivos!C5:C6,MATCH(B6,Parametros_Cultivos!A5:A6,0))*C6</f>
        <v>5</v>
      </c>
      <c r="K6" s="11" t="n">
        <f aca="false">J6*7</f>
        <v>35</v>
      </c>
    </row>
    <row r="7" customFormat="false" ht="15" hidden="false" customHeight="false" outlineLevel="0" collapsed="false">
      <c r="A7" s="10" t="str">
        <f aca="false">Cenarios_Sessao!A6</f>
        <v>Dedicado (3-4x/dia)</v>
      </c>
      <c r="B7" s="10" t="str">
        <f aca="false">Parametros_Cultivos!A5</f>
        <v>Trigo Lunar</v>
      </c>
      <c r="C7" s="11" t="n">
        <f aca="false">INDEX(Cenarios_Sessao!B5:B6,MATCH(A7,Cenarios_Sessao!A5:A6,0))</f>
        <v>4</v>
      </c>
      <c r="D7" s="11" t="n">
        <f aca="false">INDEX(Cenarios_Sessao!C5:C6,MATCH(A7,Cenarios_Sessao!A5:A6,0))</f>
        <v>6</v>
      </c>
      <c r="E7" s="11" t="n">
        <f aca="false">FLOOR(D7/INDEX(Parametros_Cultivos!B5:B6,MATCH(B7,Parametros_Cultivos!A5:A6,0)),1)</f>
        <v>3</v>
      </c>
      <c r="F7" s="11" t="n">
        <f aca="false">INDEX(Parametros_Cultivos!E5:E6,MATCH(B7,Parametros_Cultivos!A5:A6,0))</f>
        <v>3</v>
      </c>
      <c r="G7" s="11" t="n">
        <f aca="false">MIN(E7,F7)</f>
        <v>3</v>
      </c>
      <c r="H7" s="11" t="n">
        <f aca="false">MAX(E7-F7,0)</f>
        <v>0</v>
      </c>
      <c r="I7" s="12" t="n">
        <f aca="false">IFERROR(H7/E7,0)</f>
        <v>0</v>
      </c>
      <c r="J7" s="11" t="n">
        <f aca="false">G7*INDEX(Parametros_Cultivos!C5:C6,MATCH(B7,Parametros_Cultivos!A5:A6,0))*C7</f>
        <v>120</v>
      </c>
      <c r="K7" s="11" t="n">
        <f aca="false">J7*7</f>
        <v>840</v>
      </c>
    </row>
    <row r="8" customFormat="false" ht="15" hidden="false" customHeight="false" outlineLevel="0" collapsed="false">
      <c r="A8" s="10" t="str">
        <f aca="false">Cenarios_Sessao!A6</f>
        <v>Dedicado (3-4x/dia)</v>
      </c>
      <c r="B8" s="10" t="str">
        <f aca="false">Parametros_Cultivos!A6</f>
        <v>Fibra Estelar</v>
      </c>
      <c r="C8" s="11" t="n">
        <f aca="false">INDEX(Cenarios_Sessao!B5:B6,MATCH(A8,Cenarios_Sessao!A5:A6,0))</f>
        <v>4</v>
      </c>
      <c r="D8" s="11" t="n">
        <f aca="false">INDEX(Cenarios_Sessao!C5:C6,MATCH(A8,Cenarios_Sessao!A5:A6,0))</f>
        <v>6</v>
      </c>
      <c r="E8" s="11" t="n">
        <f aca="false">FLOOR(D8/INDEX(Parametros_Cultivos!B5:B6,MATCH(B8,Parametros_Cultivos!A5:A6,0)),1)</f>
        <v>0</v>
      </c>
      <c r="F8" s="11" t="n">
        <f aca="false">INDEX(Parametros_Cultivos!E5:E6,MATCH(B8,Parametros_Cultivos!A5:A6,0))</f>
        <v>3</v>
      </c>
      <c r="G8" s="11" t="n">
        <f aca="false">MIN(E8,F8)</f>
        <v>0</v>
      </c>
      <c r="H8" s="11" t="n">
        <f aca="false">MAX(E8-F8,0)</f>
        <v>0</v>
      </c>
      <c r="I8" s="12" t="n">
        <f aca="false">IFERROR(H8/E8,0)</f>
        <v>0</v>
      </c>
      <c r="J8" s="11" t="n">
        <f aca="false">G8*INDEX(Parametros_Cultivos!C5:C6,MATCH(B8,Parametros_Cultivos!A5:A6,0))*C8</f>
        <v>0</v>
      </c>
      <c r="K8" s="11" t="n">
        <f aca="false">J8*7</f>
        <v>0</v>
      </c>
    </row>
    <row r="11" customFormat="false" ht="15" hidden="false" customHeight="false" outlineLevel="0" collapsed="false">
      <c r="A11" s="2" t="s">
        <v>42</v>
      </c>
    </row>
    <row r="12" customFormat="false" ht="15" hidden="false" customHeight="false" outlineLevel="0" collapsed="false">
      <c r="A12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2026-07-20T17:49:50Z</dcterms:created>
  <dc:creator>openpyxl</dc:creator>
  <dc:description/>
  <dc:language>en-US</dc:language>
  <cp:lastModifiedBy/>
  <dcterms:modified xsi:type="dcterms:W3CDTF">2026-07-20T17:49:50Z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