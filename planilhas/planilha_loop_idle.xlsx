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projetos\games\fazendaespacial\planilhas\"/>
    </mc:Choice>
  </mc:AlternateContent>
  <xr:revisionPtr revIDLastSave="0" documentId="8_{4E704296-9807-483D-A66E-C2F6E732E09B}" xr6:coauthVersionLast="47" xr6:coauthVersionMax="47" xr10:uidLastSave="{00000000-0000-0000-0000-000000000000}"/>
  <bookViews>
    <workbookView xWindow="615" yWindow="1050" windowWidth="19560" windowHeight="14430" tabRatio="500" firstSheet="1" activeTab="1" xr2:uid="{00000000-000D-0000-FFFF-FFFF00000000}"/>
  </bookViews>
  <sheets>
    <sheet name="Leia-me" sheetId="1" r:id="rId1"/>
    <sheet name="Parametros_Cultivos" sheetId="2" r:id="rId2"/>
    <sheet name="Cenarios_Sessao" sheetId="3" r:id="rId3"/>
    <sheet name="Simulacao_Semanal" sheetId="4" r:id="rId4"/>
  </sheets>
  <calcPr calcId="181029" iterateDelta="1E-4"/>
  <extLs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B8" i="4" l="1"/>
  <c r="F8" i="4" s="1"/>
  <c r="A8" i="4"/>
  <c r="D8" i="4" s="1"/>
  <c r="E8" i="4" s="1"/>
  <c r="B7" i="4"/>
  <c r="F7" i="4" s="1"/>
  <c r="A7" i="4"/>
  <c r="D7" i="4" s="1"/>
  <c r="E7" i="4" s="1"/>
  <c r="D6" i="4"/>
  <c r="E6" i="4" s="1"/>
  <c r="C6" i="4"/>
  <c r="B6" i="4"/>
  <c r="F6" i="4" s="1"/>
  <c r="A6" i="4"/>
  <c r="F5" i="4"/>
  <c r="B5" i="4"/>
  <c r="A5" i="4"/>
  <c r="D5" i="4" s="1"/>
  <c r="E5" i="4" s="1"/>
  <c r="C6" i="3"/>
  <c r="C5" i="3"/>
  <c r="E6" i="2"/>
  <c r="F6" i="2" s="1"/>
  <c r="E5" i="2"/>
  <c r="F5" i="2" s="1"/>
  <c r="H8" i="4" l="1"/>
  <c r="I8" i="4" s="1"/>
  <c r="G8" i="4"/>
  <c r="H5" i="4"/>
  <c r="I5" i="4" s="1"/>
  <c r="G5" i="4"/>
  <c r="G6" i="4"/>
  <c r="J6" i="4" s="1"/>
  <c r="K6" i="4" s="1"/>
  <c r="H6" i="4"/>
  <c r="I6" i="4" s="1"/>
  <c r="H7" i="4"/>
  <c r="I7" i="4" s="1"/>
  <c r="G7" i="4"/>
  <c r="C5" i="4"/>
  <c r="C8" i="4"/>
  <c r="C7" i="4"/>
  <c r="J7" i="4" l="1"/>
  <c r="K7" i="4" s="1"/>
  <c r="J5" i="4"/>
  <c r="K5" i="4" s="1"/>
  <c r="J8" i="4"/>
  <c r="K8" i="4" s="1"/>
</calcChain>
</file>

<file path=xl/sharedStrings.xml><?xml version="1.0" encoding="utf-8"?>
<sst xmlns="http://schemas.openxmlformats.org/spreadsheetml/2006/main" count="46" uniqueCount="44">
  <si>
    <t>Fazenda Espacial — Simulação do Loop Idle</t>
  </si>
  <si>
    <t>Referente a docs/04-prototipo-0-loop-idle.md</t>
  </si>
  <si>
    <t>Como usar esta planilha:</t>
  </si>
  <si>
    <t>1. Edite as células AZUIS na aba 'Parametros_Cultivos' e 'Cenarios_Sessao' — são os únicos valores de entrada.</t>
  </si>
  <si>
    <t>2. As células PRETAS são fórmulas calculadas automaticamente — não precisa (e não deve) editar.</t>
  </si>
  <si>
    <t>3. A aba 'Simulacao_Semanal' recalcula sozinha conforme você muda os parâmetros.</t>
  </si>
  <si>
    <t>4. Ajuste os números até o ritmo de espera/retorno parecer certo (ver perguntas de validação no final).</t>
  </si>
  <si>
    <t>Legenda de cores:</t>
  </si>
  <si>
    <t>Entrada (edite livremente)</t>
  </si>
  <si>
    <t>Fórmula (não editar)</t>
  </si>
  <si>
    <t>Perguntas de validação (ver aba Simulacao_Semanal):</t>
  </si>
  <si>
    <t>- Jogador casual perde muitos ciclos por dia? Se sim, aumente a capacidade de armazenamento (não a produção por ciclo).</t>
  </si>
  <si>
    <t>- Jogador dedicado sente que a capacidade é pequena demais / sempre cheia sem graça? Ajuste capacidade ou tempo de ciclo.</t>
  </si>
  <si>
    <t>- O ritmo de checagem (1x/dia vs 3-4x/dia) parece saudável para cada cultivo, ou frustrante / irrelevante?</t>
  </si>
  <si>
    <t>Parâmetros dos Cultivos</t>
  </si>
  <si>
    <t>Edite as colunas azuis (B a D). As colunas E e F recalculam sozinhas.</t>
  </si>
  <si>
    <t>Cultivo</t>
  </si>
  <si>
    <t>Tempo de crescimento (h)</t>
  </si>
  <si>
    <t>Produção por ciclo (un)</t>
  </si>
  <si>
    <t>Capacidade de armazenamento (un)</t>
  </si>
  <si>
    <t>Ciclos até saturar (calc.)</t>
  </si>
  <si>
    <t>Horas até saturar (calc.)</t>
  </si>
  <si>
    <t>Trigo Lunar</t>
  </si>
  <si>
    <t>Fibra Estelar</t>
  </si>
  <si>
    <t>Cenários de Comportamento do Jogador</t>
  </si>
  <si>
    <t>Edite a coluna azul (Sessões por dia). A coluna calculada recalcula sozinha.</t>
  </si>
  <si>
    <t>Cenário</t>
  </si>
  <si>
    <t>Sessões por dia</t>
  </si>
  <si>
    <t>Horas entre sessões (calc.)</t>
  </si>
  <si>
    <t>Casual (1x/dia)</t>
  </si>
  <si>
    <t>Dedicado (3-4x/dia)</t>
  </si>
  <si>
    <t>Simulação Semanal — Coleta vs. Desperdício</t>
  </si>
  <si>
    <t>Tudo aqui é calculado a partir das abas Parametros_Cultivos e Cenarios_Sessao. Não editar.</t>
  </si>
  <si>
    <t>Sessões/dia</t>
  </si>
  <si>
    <t>Horas entre sessões</t>
  </si>
  <si>
    <t>Ciclos possíveis/sessão</t>
  </si>
  <si>
    <t>Ciclos capacidade (cultivo)</t>
  </si>
  <si>
    <t>Ciclos coletados/sessão</t>
  </si>
  <si>
    <t>Ciclos perdidos/sessão</t>
  </si>
  <si>
    <t>% de ciclos perdidos</t>
  </si>
  <si>
    <t>Unidades coletadas/dia</t>
  </si>
  <si>
    <t>Unidades coletadas/semana</t>
  </si>
  <si>
    <t>Como ler: '% de ciclos perdidos' alto = jogador está perdendo produção por falta de armazenamento.</t>
  </si>
  <si>
    <t>Ajuste primeiro a Capacidade de armazenamento (aba Parametros_Cultivos) antes de mexer em produção ou tempo de ciclo.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</si>
</sst>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7" x14ac:knownFonts="1">
    <font>
      <sz val="11"/>
      <color theme="1"/>
      <name val="Calibri"/>
      <family val="2"/>
      <charset val="1"/>
    </font>
    <font>
      <b/>
      <sz val="14"/>
      <name val="Arial"/>
      <charset val="1"/>
    </font>
    <font>
      <i/>
      <sz val="10"/>
      <color rgb="FF595959"/>
      <name val="Arial"/>
      <charset val="1"/>
    </font>
    <font>
      <b/>
      <sz val="11"/>
      <name val="Arial"/>
      <charset val="1"/>
    </font>
    <font>
      <sz val="11"/>
      <color rgb="FF0000FF"/>
      <name val="Arial"/>
      <charset val="1"/>
    </font>
    <font>
      <sz val="11"/>
      <color rgb="FF000000"/>
      <name val="Arial"/>
      <charset val="1"/>
    </font>
    <font>
      <b/>
      <sz val="11"/>
      <color rgb="FFFFFFFF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/>
    <xf numFmtId="0" fontId="5" fillId="0" borderId="0" xfId="0" applyFont="1"/>
    <xf numFmtId="0" fontId="6" fillId="3" borderId="1" xfId="0" applyFont="1" applyFill="1" applyBorder="1" applyAlignment="1">
      <alignment horizontal="center" vertical="center" wrapText="1"/>
    </xf>
    <xf numFmtId="0" fontId="3" fillId="0" borderId="1" xfId="0" applyFont="1" applyBorder="1"/>
    <xf numFmtId="0" fontId="4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0" fillId="0" borderId="1" xfId="0" applyBorder="1"/>
    <xf numFmtId="0" fontId="0" fillId="0" borderId="1" xfId="0" applyBorder="1" applyAlignment="1">
      <alignment horizontal="center"/>
    </xf>
    <xf numFmtId="164" fontId="0" fillId="0" borderId="1" xfId="0" applyNumberForma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19"/>
  <sheetViews>
    <sheetView showGridLines="0" zoomScaleNormal="100" workbookViewId="0"/>
  </sheetViews>
  <sheetFormatPr defaultColWidth="8.7109375" defaultRowHeight="15" x14ac:dyDescent="0.25"/>
  <cols>
    <col min="1" max="1" width="110" customWidth="1"/>
  </cols>
  <sheetData>
    <row r="1" spans="1:1" ht="17.25" customHeight="1" x14ac:dyDescent="0.25">
      <c r="A1" s="1" t="s">
        <v>0</v>
      </c>
    </row>
    <row r="2" spans="1:1" ht="15" customHeight="1" x14ac:dyDescent="0.25">
      <c r="A2" s="2" t="s">
        <v>1</v>
      </c>
    </row>
    <row r="5" spans="1:1" ht="15" customHeight="1" x14ac:dyDescent="0.25">
      <c r="A5" t="s">
        <v>2</v>
      </c>
    </row>
    <row r="6" spans="1:1" ht="15" customHeight="1" x14ac:dyDescent="0.25">
      <c r="A6" t="s">
        <v>3</v>
      </c>
    </row>
    <row r="7" spans="1:1" ht="15" customHeight="1" x14ac:dyDescent="0.25">
      <c r="A7" t="s">
        <v>4</v>
      </c>
    </row>
    <row r="8" spans="1:1" ht="15" customHeight="1" x14ac:dyDescent="0.25">
      <c r="A8" t="s">
        <v>5</v>
      </c>
    </row>
    <row r="9" spans="1:1" ht="15" customHeight="1" x14ac:dyDescent="0.25">
      <c r="A9" t="s">
        <v>6</v>
      </c>
    </row>
    <row r="11" spans="1:1" ht="15" customHeight="1" x14ac:dyDescent="0.25">
      <c r="A11" s="3" t="s">
        <v>7</v>
      </c>
    </row>
    <row r="13" spans="1:1" ht="15" customHeight="1" x14ac:dyDescent="0.25">
      <c r="A13" s="4" t="s">
        <v>8</v>
      </c>
    </row>
    <row r="14" spans="1:1" ht="15" customHeight="1" x14ac:dyDescent="0.25">
      <c r="A14" s="5" t="s">
        <v>9</v>
      </c>
    </row>
    <row r="16" spans="1:1" ht="15" customHeight="1" x14ac:dyDescent="0.25">
      <c r="A16" s="3" t="s">
        <v>10</v>
      </c>
    </row>
    <row r="17" spans="1:1" ht="15" customHeight="1" x14ac:dyDescent="0.25">
      <c r="A17" t="s">
        <v>11</v>
      </c>
    </row>
    <row r="18" spans="1:1" ht="15" customHeight="1" x14ac:dyDescent="0.25">
      <c r="A18" t="s">
        <v>12</v>
      </c>
    </row>
    <row r="19" spans="1:1" ht="15" customHeight="1" x14ac:dyDescent="0.25">
      <c r="A19" t="s">
        <v>13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"/>
  <sheetViews>
    <sheetView showGridLines="0" tabSelected="1" zoomScaleNormal="100" workbookViewId="0"/>
  </sheetViews>
  <sheetFormatPr defaultColWidth="8.7109375" defaultRowHeight="15" x14ac:dyDescent="0.25"/>
  <cols>
    <col min="1" max="1" width="16" customWidth="1"/>
    <col min="2" max="3" width="22" customWidth="1"/>
    <col min="4" max="4" width="26" customWidth="1"/>
    <col min="5" max="5" width="22" customWidth="1"/>
    <col min="6" max="6" width="20" customWidth="1"/>
  </cols>
  <sheetData>
    <row r="1" spans="1:6" ht="17.25" customHeight="1" x14ac:dyDescent="0.25">
      <c r="A1" s="1" t="s">
        <v>14</v>
      </c>
    </row>
    <row r="2" spans="1:6" ht="15" customHeight="1" x14ac:dyDescent="0.25">
      <c r="A2" s="2" t="s">
        <v>15</v>
      </c>
    </row>
    <row r="4" spans="1:6" ht="26.25" customHeight="1" x14ac:dyDescent="0.25">
      <c r="A4" s="6" t="s">
        <v>16</v>
      </c>
      <c r="B4" s="6" t="s">
        <v>17</v>
      </c>
      <c r="C4" s="6" t="s">
        <v>18</v>
      </c>
      <c r="D4" s="6" t="s">
        <v>19</v>
      </c>
      <c r="E4" s="6" t="s">
        <v>20</v>
      </c>
      <c r="F4" s="6" t="s">
        <v>21</v>
      </c>
    </row>
    <row r="5" spans="1:6" ht="15" customHeight="1" x14ac:dyDescent="0.25">
      <c r="A5" s="7" t="s">
        <v>22</v>
      </c>
      <c r="B5" s="8">
        <v>2</v>
      </c>
      <c r="C5" s="8">
        <v>10</v>
      </c>
      <c r="D5" s="8">
        <v>100</v>
      </c>
      <c r="E5" s="9">
        <f>D5/C5</f>
        <v>10</v>
      </c>
      <c r="F5" s="9">
        <f>E5*B5</f>
        <v>20</v>
      </c>
    </row>
    <row r="6" spans="1:6" ht="15" customHeight="1" x14ac:dyDescent="0.25">
      <c r="A6" s="7" t="s">
        <v>23</v>
      </c>
      <c r="B6" s="8">
        <v>18</v>
      </c>
      <c r="C6" s="8">
        <v>5</v>
      </c>
      <c r="D6" s="8">
        <v>15</v>
      </c>
      <c r="E6" s="9">
        <f>D6/C6</f>
        <v>3</v>
      </c>
      <c r="F6" s="9">
        <f>E6*B6</f>
        <v>54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6"/>
  <sheetViews>
    <sheetView showGridLines="0" zoomScaleNormal="100" workbookViewId="0"/>
  </sheetViews>
  <sheetFormatPr defaultColWidth="8.7109375" defaultRowHeight="15" x14ac:dyDescent="0.25"/>
  <cols>
    <col min="1" max="1" width="22" customWidth="1"/>
    <col min="2" max="2" width="18" customWidth="1"/>
    <col min="3" max="3" width="24" customWidth="1"/>
  </cols>
  <sheetData>
    <row r="1" spans="1:3" ht="17.25" customHeight="1" x14ac:dyDescent="0.25">
      <c r="A1" s="1" t="s">
        <v>24</v>
      </c>
    </row>
    <row r="2" spans="1:3" ht="15" customHeight="1" x14ac:dyDescent="0.25">
      <c r="A2" s="2" t="s">
        <v>25</v>
      </c>
    </row>
    <row r="4" spans="1:3" ht="26.25" customHeight="1" x14ac:dyDescent="0.25">
      <c r="A4" s="6" t="s">
        <v>26</v>
      </c>
      <c r="B4" s="6" t="s">
        <v>27</v>
      </c>
      <c r="C4" s="6" t="s">
        <v>28</v>
      </c>
    </row>
    <row r="5" spans="1:3" ht="15" customHeight="1" x14ac:dyDescent="0.25">
      <c r="A5" s="7" t="s">
        <v>29</v>
      </c>
      <c r="B5" s="8">
        <v>1</v>
      </c>
      <c r="C5" s="9">
        <f>24/B5</f>
        <v>24</v>
      </c>
    </row>
    <row r="6" spans="1:3" ht="15" customHeight="1" x14ac:dyDescent="0.25">
      <c r="A6" s="7" t="s">
        <v>30</v>
      </c>
      <c r="B6" s="8">
        <v>4</v>
      </c>
      <c r="C6" s="9">
        <f>24/B6</f>
        <v>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2"/>
  <sheetViews>
    <sheetView showGridLines="0" zoomScaleNormal="100" workbookViewId="0"/>
  </sheetViews>
  <sheetFormatPr defaultColWidth="8.7109375" defaultRowHeight="15" x14ac:dyDescent="0.25"/>
  <cols>
    <col min="1" max="1" width="20" customWidth="1"/>
    <col min="2" max="2" width="16" customWidth="1"/>
    <col min="3" max="3" width="12" customWidth="1"/>
    <col min="4" max="4" width="18" customWidth="1"/>
    <col min="5" max="7" width="20" customWidth="1"/>
    <col min="8" max="8" width="18" customWidth="1"/>
    <col min="9" max="9" width="16" customWidth="1"/>
    <col min="10" max="10" width="20" customWidth="1"/>
    <col min="11" max="11" width="22" customWidth="1"/>
  </cols>
  <sheetData>
    <row r="1" spans="1:11" ht="17.25" customHeight="1" x14ac:dyDescent="0.25">
      <c r="A1" s="1" t="s">
        <v>31</v>
      </c>
    </row>
    <row r="2" spans="1:11" ht="15" customHeight="1" x14ac:dyDescent="0.25">
      <c r="A2" s="2" t="s">
        <v>32</v>
      </c>
    </row>
    <row r="4" spans="1:11" ht="26.25" customHeight="1" x14ac:dyDescent="0.25">
      <c r="A4" s="6" t="s">
        <v>26</v>
      </c>
      <c r="B4" s="6" t="s">
        <v>16</v>
      </c>
      <c r="C4" s="6" t="s">
        <v>33</v>
      </c>
      <c r="D4" s="6" t="s">
        <v>34</v>
      </c>
      <c r="E4" s="6" t="s">
        <v>35</v>
      </c>
      <c r="F4" s="6" t="s">
        <v>36</v>
      </c>
      <c r="G4" s="6" t="s">
        <v>37</v>
      </c>
      <c r="H4" s="6" t="s">
        <v>38</v>
      </c>
      <c r="I4" s="6" t="s">
        <v>39</v>
      </c>
      <c r="J4" s="6" t="s">
        <v>40</v>
      </c>
      <c r="K4" s="6" t="s">
        <v>41</v>
      </c>
    </row>
    <row r="5" spans="1:11" ht="15" customHeight="1" x14ac:dyDescent="0.25">
      <c r="A5" s="10" t="str">
        <f>Cenarios_Sessao!A5</f>
        <v>Casual (1x/dia)</v>
      </c>
      <c r="B5" s="10" t="str">
        <f>Parametros_Cultivos!A5</f>
        <v>Trigo Lunar</v>
      </c>
      <c r="C5" s="11">
        <f>INDEX(Cenarios_Sessao!B5:B6,MATCH(A5,Cenarios_Sessao!A5:A6,0))</f>
        <v>1</v>
      </c>
      <c r="D5" s="11">
        <f>INDEX(Cenarios_Sessao!C5:C6,MATCH(A5,Cenarios_Sessao!A5:A6,0))</f>
        <v>24</v>
      </c>
      <c r="E5" s="11">
        <f>FLOOR(D5/INDEX(Parametros_Cultivos!B5:B6,MATCH(B5,Parametros_Cultivos!A5:A6,0)),1)</f>
        <v>12</v>
      </c>
      <c r="F5" s="11">
        <f>INDEX(Parametros_Cultivos!E5:E6,MATCH(B5,Parametros_Cultivos!A5:A6,0))</f>
        <v>10</v>
      </c>
      <c r="G5" s="11">
        <f>MIN(E5,F5)</f>
        <v>10</v>
      </c>
      <c r="H5" s="11">
        <f>MAX(E5-F5,0)</f>
        <v>2</v>
      </c>
      <c r="I5" s="12">
        <f>IFERROR(H5/E5,0)</f>
        <v>0.16666666666666666</v>
      </c>
      <c r="J5" s="11">
        <f>G5*INDEX(Parametros_Cultivos!C5:C6,MATCH(B5,Parametros_Cultivos!A5:A6,0))*C5</f>
        <v>100</v>
      </c>
      <c r="K5" s="11">
        <f>J5*7</f>
        <v>700</v>
      </c>
    </row>
    <row r="6" spans="1:11" ht="15" customHeight="1" x14ac:dyDescent="0.25">
      <c r="A6" s="10" t="str">
        <f>Cenarios_Sessao!A5</f>
        <v>Casual (1x/dia)</v>
      </c>
      <c r="B6" s="10" t="str">
        <f>Parametros_Cultivos!A6</f>
        <v>Fibra Estelar</v>
      </c>
      <c r="C6" s="11">
        <f>INDEX(Cenarios_Sessao!B5:B6,MATCH(A6,Cenarios_Sessao!A5:A6,0))</f>
        <v>1</v>
      </c>
      <c r="D6" s="11">
        <f>INDEX(Cenarios_Sessao!C5:C6,MATCH(A6,Cenarios_Sessao!A5:A6,0))</f>
        <v>24</v>
      </c>
      <c r="E6" s="11">
        <f>FLOOR(D6/INDEX(Parametros_Cultivos!B5:B6,MATCH(B6,Parametros_Cultivos!A5:A6,0)),1)</f>
        <v>1</v>
      </c>
      <c r="F6" s="11">
        <f>INDEX(Parametros_Cultivos!E5:E6,MATCH(B6,Parametros_Cultivos!A5:A6,0))</f>
        <v>3</v>
      </c>
      <c r="G6" s="11">
        <f>MIN(E6,F6)</f>
        <v>1</v>
      </c>
      <c r="H6" s="11">
        <f>MAX(E6-F6,0)</f>
        <v>0</v>
      </c>
      <c r="I6" s="12">
        <f>IFERROR(H6/E6,0)</f>
        <v>0</v>
      </c>
      <c r="J6" s="11">
        <f>G6*INDEX(Parametros_Cultivos!C5:C6,MATCH(B6,Parametros_Cultivos!A5:A6,0))*C6</f>
        <v>5</v>
      </c>
      <c r="K6" s="11">
        <f>J6*7</f>
        <v>35</v>
      </c>
    </row>
    <row r="7" spans="1:11" ht="15" customHeight="1" x14ac:dyDescent="0.25">
      <c r="A7" s="10" t="str">
        <f>Cenarios_Sessao!A6</f>
        <v>Dedicado (3-4x/dia)</v>
      </c>
      <c r="B7" s="10" t="str">
        <f>Parametros_Cultivos!A5</f>
        <v>Trigo Lunar</v>
      </c>
      <c r="C7" s="11">
        <f>INDEX(Cenarios_Sessao!B5:B6,MATCH(A7,Cenarios_Sessao!A5:A6,0))</f>
        <v>4</v>
      </c>
      <c r="D7" s="11">
        <f>INDEX(Cenarios_Sessao!C5:C6,MATCH(A7,Cenarios_Sessao!A5:A6,0))</f>
        <v>6</v>
      </c>
      <c r="E7" s="11">
        <f>FLOOR(D7/INDEX(Parametros_Cultivos!B5:B6,MATCH(B7,Parametros_Cultivos!A5:A6,0)),1)</f>
        <v>3</v>
      </c>
      <c r="F7" s="11">
        <f>INDEX(Parametros_Cultivos!E5:E6,MATCH(B7,Parametros_Cultivos!A5:A6,0))</f>
        <v>10</v>
      </c>
      <c r="G7" s="11">
        <f>MIN(E7,F7)</f>
        <v>3</v>
      </c>
      <c r="H7" s="11">
        <f>MAX(E7-F7,0)</f>
        <v>0</v>
      </c>
      <c r="I7" s="12">
        <f>IFERROR(H7/E7,0)</f>
        <v>0</v>
      </c>
      <c r="J7" s="11">
        <f>G7*INDEX(Parametros_Cultivos!C5:C6,MATCH(B7,Parametros_Cultivos!A5:A6,0))*C7</f>
        <v>120</v>
      </c>
      <c r="K7" s="11">
        <f>J7*7</f>
        <v>840</v>
      </c>
    </row>
    <row r="8" spans="1:11" ht="15" customHeight="1" x14ac:dyDescent="0.25">
      <c r="A8" s="10" t="str">
        <f>Cenarios_Sessao!A6</f>
        <v>Dedicado (3-4x/dia)</v>
      </c>
      <c r="B8" s="10" t="str">
        <f>Parametros_Cultivos!A6</f>
        <v>Fibra Estelar</v>
      </c>
      <c r="C8" s="11">
        <f>INDEX(Cenarios_Sessao!B5:B6,MATCH(A8,Cenarios_Sessao!A5:A6,0))</f>
        <v>4</v>
      </c>
      <c r="D8" s="11">
        <f>INDEX(Cenarios_Sessao!C5:C6,MATCH(A8,Cenarios_Sessao!A5:A6,0))</f>
        <v>6</v>
      </c>
      <c r="E8" s="11">
        <f>FLOOR(D8/INDEX(Parametros_Cultivos!B5:B6,MATCH(B8,Parametros_Cultivos!A5:A6,0)),1)</f>
        <v>0</v>
      </c>
      <c r="F8" s="11">
        <f>INDEX(Parametros_Cultivos!E5:E6,MATCH(B8,Parametros_Cultivos!A5:A6,0))</f>
        <v>3</v>
      </c>
      <c r="G8" s="11">
        <f>MIN(E8,F8)</f>
        <v>0</v>
      </c>
      <c r="H8" s="11">
        <f>MAX(E8-F8,0)</f>
        <v>0</v>
      </c>
      <c r="I8" s="12">
        <f>IFERROR(H8/E8,0)</f>
        <v>0</v>
      </c>
      <c r="J8" s="11">
        <f>G8*INDEX(Parametros_Cultivos!C5:C6,MATCH(B8,Parametros_Cultivos!A5:A6,0))*C8</f>
        <v>0</v>
      </c>
      <c r="K8" s="11">
        <f>J8*7</f>
        <v>0</v>
      </c>
    </row>
    <row r="11" spans="1:11" ht="15" customHeight="1" x14ac:dyDescent="0.25">
      <c r="A11" s="2" t="s">
        <v>42</v>
      </c>
    </row>
    <row r="12" spans="1:11" ht="15" customHeight="1" x14ac:dyDescent="0.25">
      <c r="A12" s="2" t="s">
        <v>43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Leia-me</vt:lpstr>
      <vt:lpstr>Parametros_Cultivos</vt:lpstr>
      <vt:lpstr>Cenarios_Sessao</vt:lpstr>
      <vt:lpstr>Simulacao_Semanal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Ricardo Godinho</cp:lastModifiedBy>
  <cp:revision>0</cp:revision>
  <dcterms:created xsi:type="dcterms:W3CDTF">2026-07-20T17:49:50Z</dcterms:created>
  <dcterms:modified xsi:type="dcterms:W3CDTF">2026-07-20T18:01:26Z</dcterms:modified>
  <dc:language>en-US</dc:language>
</cp:coreProperties>
</file>